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_ADMIN" sheetId="1" state="visible" r:id="rId1"/>
    <sheet name="INPUT_PROJECT" sheetId="2" state="visible" r:id="rId2"/>
    <sheet name="CALCUL_ENGINE" sheetId="3" state="visible" r:id="rId3"/>
    <sheet name="LAYOUT" sheetId="4" state="visible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CAPEX</a:t>
            </a:r>
          </a:p>
        </rich>
      </tx>
    </title>
    <plotArea>
      <pieChart>
        <varyColors val="1"/>
        <ser>
          <idx val="0"/>
          <order val="0"/>
          <tx>
            <strRef>
              <f>'GRAPHIQUES'!B2</f>
            </strRef>
          </tx>
          <spPr>
            <a:ln>
              <a:prstDash val="solid"/>
            </a:ln>
          </spPr>
          <cat>
            <numRef>
              <f>'GRAPHIQUES'!$A$3:$A$6</f>
            </numRef>
          </cat>
          <val>
            <numRef>
              <f>'GRAPHIQUES'!$B$3:$B$6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CAPEX vs OPEX Annuel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'GRAPHIQUES'!B11</f>
            </strRef>
          </tx>
          <spPr>
            <a:ln>
              <a:prstDash val="solid"/>
            </a:ln>
          </spPr>
          <cat>
            <numRef>
              <f>'GRAPHIQUES'!$A$12</f>
            </numRef>
          </cat>
          <val>
            <numRef>
              <f>'GRAPHIQUES'!$B$12</f>
            </numRef>
          </val>
        </ser>
        <ser>
          <idx val="1"/>
          <order val="1"/>
          <tx>
            <strRef>
              <f>'GRAPHIQUES'!C11</f>
            </strRef>
          </tx>
          <spPr>
            <a:ln>
              <a:prstDash val="solid"/>
            </a:ln>
          </spPr>
          <cat>
            <numRef>
              <f>'GRAPHIQUES'!$A$12</f>
            </numRef>
          </cat>
          <val>
            <numRef>
              <f>'GRAPHIQUES'!$C$12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Montant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16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BIBLIOTHÈQUE CONTAINERS</t>
        </is>
      </c>
    </row>
    <row r="2">
      <c r="A2" s="2" t="inlineStr">
        <is>
          <t>ID</t>
        </is>
      </c>
      <c r="B2" s="2" t="inlineStr">
        <is>
          <t>Nom</t>
        </is>
      </c>
      <c r="C2" s="2" t="inlineStr">
        <is>
          <t>Puissance (MW)</t>
        </is>
      </c>
      <c r="D2" s="2" t="inlineStr">
        <is>
          <t>Courant (A)</t>
        </is>
      </c>
      <c r="E2" s="2" t="inlineStr">
        <is>
          <t>Refroidissement</t>
        </is>
      </c>
      <c r="F2" s="2" t="inlineStr">
        <is>
          <t>CAPEX (USD)</t>
        </is>
      </c>
      <c r="G2" s="2" t="inlineStr">
        <is>
          <t>Longueur (m)</t>
        </is>
      </c>
      <c r="H2" s="2" t="inlineStr">
        <is>
          <t>Largeur (m)</t>
        </is>
      </c>
      <c r="I2" s="2" t="inlineStr">
        <is>
          <t>Fondation</t>
        </is>
      </c>
    </row>
    <row r="3">
      <c r="A3" s="3" t="inlineStr">
        <is>
          <t>HD5</t>
        </is>
      </c>
      <c r="B3" s="3" t="inlineStr">
        <is>
          <t>HD5-1.6MW-400V-Mining-Container</t>
        </is>
      </c>
      <c r="C3" s="3" t="n">
        <v>1.6</v>
      </c>
      <c r="D3" s="3" t="n">
        <v>2300</v>
      </c>
      <c r="E3" s="3" t="inlineStr">
        <is>
          <t>air, immersion</t>
        </is>
      </c>
      <c r="F3" s="3" t="n">
        <v>420000</v>
      </c>
      <c r="G3" s="3" t="n">
        <v>12</v>
      </c>
      <c r="H3" s="3" t="n">
        <v>2.5</v>
      </c>
      <c r="I3" s="3" t="inlineStr">
        <is>
          <t>RC40</t>
        </is>
      </c>
    </row>
    <row r="6">
      <c r="A6" s="1" t="inlineStr">
        <is>
          <t>BIBLIOTHÈQUE TRANSFORMATEURS</t>
        </is>
      </c>
    </row>
    <row r="7">
      <c r="A7" s="2" t="inlineStr">
        <is>
          <t>ID</t>
        </is>
      </c>
      <c r="B7" s="2" t="inlineStr">
        <is>
          <t>Nom</t>
        </is>
      </c>
      <c r="C7" s="2" t="inlineStr">
        <is>
          <t>Puissance (MW)</t>
        </is>
      </c>
      <c r="D7" s="2" t="inlineStr">
        <is>
          <t>CAPEX (USD)</t>
        </is>
      </c>
      <c r="E7" s="2" t="inlineStr">
        <is>
          <t>Longueur (m)</t>
        </is>
      </c>
      <c r="F7" s="2" t="inlineStr">
        <is>
          <t>Largeur (m)</t>
        </is>
      </c>
      <c r="G7" s="2" t="inlineStr">
        <is>
          <t>Fondation</t>
        </is>
      </c>
    </row>
    <row r="8">
      <c r="A8" s="3" t="inlineStr">
        <is>
          <t>TR_5MW</t>
        </is>
      </c>
      <c r="B8" s="3" t="inlineStr">
        <is>
          <t>TR-5MW-MT-BT</t>
        </is>
      </c>
      <c r="C8" s="3" t="n">
        <v>5</v>
      </c>
      <c r="D8" s="3" t="n">
        <v>180000</v>
      </c>
      <c r="E8" s="3" t="n">
        <v>5</v>
      </c>
      <c r="F8" s="3" t="n">
        <v>4</v>
      </c>
      <c r="G8" s="3" t="inlineStr">
        <is>
          <t>RC40</t>
        </is>
      </c>
    </row>
    <row r="11">
      <c r="A11" s="1" t="inlineStr">
        <is>
          <t>BIBLIOTHÈQUE POWERBLOCKS</t>
        </is>
      </c>
    </row>
    <row r="12">
      <c r="A12" s="2" t="inlineStr">
        <is>
          <t>ID</t>
        </is>
      </c>
      <c r="B12" s="2" t="inlineStr">
        <is>
          <t>Nom</t>
        </is>
      </c>
      <c r="C12" s="2" t="inlineStr">
        <is>
          <t>Puissance (MW)</t>
        </is>
      </c>
      <c r="D12" s="2" t="inlineStr">
        <is>
          <t>Nbr Transformateurs</t>
        </is>
      </c>
      <c r="E12" s="2" t="inlineStr">
        <is>
          <t>Redondance</t>
        </is>
      </c>
      <c r="F12" s="2" t="inlineStr">
        <is>
          <t>CAPEX (USD)</t>
        </is>
      </c>
      <c r="G12" s="2" t="inlineStr">
        <is>
          <t>Longueur (m)</t>
        </is>
      </c>
      <c r="H12" s="2" t="inlineStr">
        <is>
          <t>Largeur (m)</t>
        </is>
      </c>
      <c r="I12" s="2" t="inlineStr">
        <is>
          <t>Fondation</t>
        </is>
      </c>
    </row>
    <row r="13">
      <c r="A13" s="3" t="inlineStr">
        <is>
          <t>PB_25MW</t>
        </is>
      </c>
      <c r="B13" s="3" t="inlineStr">
        <is>
          <t>PB-25MW</t>
        </is>
      </c>
      <c r="C13" s="3" t="n">
        <v>25</v>
      </c>
      <c r="D13" s="3" t="n">
        <v>5</v>
      </c>
      <c r="E13" s="3" t="n">
        <v>1</v>
      </c>
      <c r="F13" s="3" t="n">
        <v>1200000</v>
      </c>
      <c r="G13" s="3" t="n">
        <v>20</v>
      </c>
      <c r="H13" s="3" t="n">
        <v>10</v>
      </c>
      <c r="I13" s="3" t="inlineStr">
        <is>
          <t>RC40</t>
        </is>
      </c>
    </row>
    <row r="16">
      <c r="A16" s="1" t="inlineStr">
        <is>
          <t>BIBLIOTHÈQUE ÉNERGIE</t>
        </is>
      </c>
    </row>
    <row r="17">
      <c r="A17" s="2" t="inlineStr">
        <is>
          <t>Type</t>
        </is>
      </c>
      <c r="B17" s="2" t="inlineStr">
        <is>
          <t>Buffer requis</t>
        </is>
      </c>
      <c r="C17" s="2" t="inlineStr">
        <is>
          <t>OPEX (USD/MWh)</t>
        </is>
      </c>
    </row>
    <row r="18">
      <c r="A18" s="3" t="inlineStr">
        <is>
          <t>grid</t>
        </is>
      </c>
      <c r="B18" s="3" t="inlineStr">
        <is>
          <t>Non</t>
        </is>
      </c>
      <c r="C18" s="3" t="n">
        <v>50</v>
      </c>
    </row>
    <row r="19">
      <c r="A19" s="3" t="inlineStr">
        <is>
          <t>generator</t>
        </is>
      </c>
      <c r="B19" s="3" t="inlineStr">
        <is>
          <t>Non</t>
        </is>
      </c>
      <c r="C19" s="3" t="n">
        <v>120</v>
      </c>
    </row>
    <row r="20">
      <c r="A20" s="3" t="inlineStr">
        <is>
          <t>solar</t>
        </is>
      </c>
      <c r="B20" s="3" t="inlineStr">
        <is>
          <t>Oui</t>
        </is>
      </c>
      <c r="C20" s="3" t="n">
        <v>10</v>
      </c>
    </row>
    <row r="21">
      <c r="A21" s="3" t="inlineStr">
        <is>
          <t>wind</t>
        </is>
      </c>
      <c r="B21" s="3" t="inlineStr">
        <is>
          <t>Oui</t>
        </is>
      </c>
      <c r="C21" s="3" t="n">
        <v>15</v>
      </c>
    </row>
    <row r="22">
      <c r="A22" s="3" t="inlineStr">
        <is>
          <t>flare_gas</t>
        </is>
      </c>
      <c r="B22" s="3" t="inlineStr">
        <is>
          <t>Oui</t>
        </is>
      </c>
      <c r="C22" s="3" t="n">
        <v>30</v>
      </c>
    </row>
    <row r="23">
      <c r="A23" s="3" t="inlineStr">
        <is>
          <t>biogas</t>
        </is>
      </c>
      <c r="B23" s="3" t="inlineStr">
        <is>
          <t>Oui</t>
        </is>
      </c>
      <c r="C23" s="3" t="n">
        <v>35</v>
      </c>
    </row>
  </sheetData>
  <mergeCells count="4">
    <mergeCell ref="A1:I1"/>
    <mergeCell ref="A16:D16"/>
    <mergeCell ref="A6:H6"/>
    <mergeCell ref="A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5" customWidth="1" min="3" max="3"/>
  </cols>
  <sheetData>
    <row r="1">
      <c r="A1" s="1" t="inlineStr">
        <is>
          <t>PARAMÈTRES DU PROJET</t>
        </is>
      </c>
    </row>
    <row r="3">
      <c r="A3" s="4" t="inlineStr">
        <is>
          <t>Nom projet</t>
        </is>
      </c>
      <c r="B3" t="inlineStr">
        <is>
          <t>:</t>
        </is>
      </c>
      <c r="C3" s="5" t="inlineStr"/>
    </row>
    <row r="4">
      <c r="A4" s="4" t="inlineStr">
        <is>
          <t>Pays</t>
        </is>
      </c>
      <c r="B4" t="inlineStr">
        <is>
          <t>:</t>
        </is>
      </c>
      <c r="C4" s="5" t="inlineStr"/>
    </row>
    <row r="5">
      <c r="A5" s="4" t="inlineStr">
        <is>
          <t>Puissance IT cible (MW)</t>
        </is>
      </c>
      <c r="B5" t="inlineStr">
        <is>
          <t>:</t>
        </is>
      </c>
      <c r="C5" s="5" t="n">
        <v>0</v>
      </c>
    </row>
    <row r="6">
      <c r="A6" s="4" t="inlineStr">
        <is>
          <t>Puissance future (MW)</t>
        </is>
      </c>
      <c r="B6" t="inlineStr">
        <is>
          <t>:</t>
        </is>
      </c>
      <c r="C6" s="5" t="n">
        <v>0</v>
      </c>
    </row>
    <row r="7">
      <c r="A7" s="4" t="inlineStr">
        <is>
          <t>Type d'énergie</t>
        </is>
      </c>
      <c r="B7" t="inlineStr">
        <is>
          <t>:</t>
        </is>
      </c>
      <c r="C7" s="5" t="inlineStr">
        <is>
          <t>grid</t>
        </is>
      </c>
    </row>
    <row r="8">
      <c r="A8" s="4" t="inlineStr">
        <is>
          <t>Type mining</t>
        </is>
      </c>
      <c r="B8" t="inlineStr">
        <is>
          <t>:</t>
        </is>
      </c>
      <c r="C8" s="5" t="inlineStr">
        <is>
          <t>air</t>
        </is>
      </c>
    </row>
    <row r="9">
      <c r="A9" s="4" t="inlineStr">
        <is>
          <t>Restriction surface</t>
        </is>
      </c>
      <c r="B9" t="inlineStr">
        <is>
          <t>:</t>
        </is>
      </c>
      <c r="C9" s="5" t="inlineStr">
        <is>
          <t>Non</t>
        </is>
      </c>
    </row>
    <row r="10">
      <c r="A10" s="4" t="inlineStr">
        <is>
          <t>Surface max (m²)</t>
        </is>
      </c>
      <c r="B10" t="inlineStr">
        <is>
          <t>:</t>
        </is>
      </c>
      <c r="C10" s="5" t="inlineStr"/>
    </row>
    <row r="13">
      <c r="A13" s="1" t="inlineStr">
        <is>
          <t>PHASAGE CHANTIER</t>
        </is>
      </c>
    </row>
    <row r="14">
      <c r="A14" s="2" t="inlineStr">
        <is>
          <t>Phase</t>
        </is>
      </c>
      <c r="B14" s="2" t="inlineStr">
        <is>
          <t>Puissance (MW)</t>
        </is>
      </c>
    </row>
    <row r="15">
      <c r="A15" s="5" t="inlineStr">
        <is>
          <t>Phase ?</t>
        </is>
      </c>
      <c r="B15" s="5" t="n"/>
    </row>
  </sheetData>
  <mergeCells count="2">
    <mergeCell ref="A13:C13"/>
    <mergeCell ref="A1:B1"/>
  </mergeCells>
  <dataValidations count="3">
    <dataValidation sqref="C7" showDropDown="0" showInputMessage="0" showErrorMessage="0" allowBlank="0" type="list">
      <formula1>"grid,generator,solar,wind,flare_gas,biogas"</formula1>
    </dataValidation>
    <dataValidation sqref="C8" showDropDown="0" showInputMessage="0" showErrorMessage="0" allowBlank="0" type="list">
      <formula1>"air,immersion"</formula1>
    </dataValidation>
    <dataValidation sqref="C9" showDropDown="0" showInputMessage="0" showErrorMessage="0" allowBlank="0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18" customWidth="1" min="4" max="4"/>
    <col width="5" customWidth="1" min="5" max="5"/>
  </cols>
  <sheetData>
    <row r="1">
      <c r="A1" s="1" t="inlineStr">
        <is>
          <t>CALCULS QUANTITÉS</t>
        </is>
      </c>
    </row>
    <row r="2">
      <c r="A2" s="4" t="inlineStr">
        <is>
          <t>Équipement</t>
        </is>
      </c>
      <c r="B2" s="4" t="inlineStr">
        <is>
          <t>Quantité</t>
        </is>
      </c>
    </row>
    <row r="3">
      <c r="A3" t="inlineStr">
        <is>
          <t>Containers HD5</t>
        </is>
      </c>
      <c r="B3">
        <f>ARRONDI.SUP(INPUT_PROJECT!C5/1.6;0)</f>
        <v/>
      </c>
    </row>
    <row r="4">
      <c r="A4" t="inlineStr">
        <is>
          <t>Transformateurs</t>
        </is>
      </c>
      <c r="B4">
        <f>ARRONDI.SUP(INPUT_PROJECT!C5/5;0)</f>
        <v/>
      </c>
    </row>
    <row r="5">
      <c r="A5" t="inlineStr">
        <is>
          <t>PowerBlocks</t>
        </is>
      </c>
      <c r="B5">
        <f>SI(INPUT_PROJECT!C5&lt;20;0;ARRONDI.SUP(INPUT_PROJECT!C5/25;0))</f>
        <v/>
      </c>
    </row>
    <row r="7">
      <c r="A7" s="1" t="inlineStr">
        <is>
          <t>CALCULS CAPEX</t>
        </is>
      </c>
    </row>
    <row r="8">
      <c r="A8" s="2" t="inlineStr">
        <is>
          <t>Équipement</t>
        </is>
      </c>
      <c r="B8" s="2" t="inlineStr">
        <is>
          <t>Quantité</t>
        </is>
      </c>
      <c r="C8" s="2" t="inlineStr">
        <is>
          <t>Prix unitaire (USD)</t>
        </is>
      </c>
      <c r="D8" s="2" t="inlineStr">
        <is>
          <t>CAPEX (USD)</t>
        </is>
      </c>
    </row>
    <row r="9">
      <c r="A9" t="inlineStr">
        <is>
          <t>Containers</t>
        </is>
      </c>
      <c r="B9">
        <f>B6</f>
        <v/>
      </c>
      <c r="C9" t="n">
        <v>420000</v>
      </c>
      <c r="D9">
        <f>B9*C9</f>
        <v/>
      </c>
    </row>
    <row r="10">
      <c r="A10" t="inlineStr">
        <is>
          <t>Transformateurs</t>
        </is>
      </c>
      <c r="B10">
        <f>B7</f>
        <v/>
      </c>
      <c r="C10" t="n">
        <v>180000</v>
      </c>
      <c r="D10">
        <f>B10*C10</f>
        <v/>
      </c>
    </row>
    <row r="11">
      <c r="A11" t="inlineStr">
        <is>
          <t>PowerBlocks</t>
        </is>
      </c>
      <c r="B11">
        <f>B8</f>
        <v/>
      </c>
      <c r="C11" t="n">
        <v>1200000</v>
      </c>
      <c r="D11">
        <f>B11*C11</f>
        <v/>
      </c>
    </row>
    <row r="12">
      <c r="A12" t="inlineStr">
        <is>
          <t>Génie Civil</t>
        </is>
      </c>
      <c r="B12" t="inlineStr"/>
      <c r="C12" t="inlineStr"/>
      <c r="D12">
        <f>LAYOUT!B2*100</f>
        <v/>
      </c>
    </row>
    <row r="13">
      <c r="A13" s="6" t="inlineStr">
        <is>
          <t>CAPEX TOTAL</t>
        </is>
      </c>
      <c r="B13" t="inlineStr"/>
      <c r="C13" t="inlineStr"/>
      <c r="D13" s="6">
        <f>SOMME(D9:D12)</f>
        <v/>
      </c>
    </row>
    <row r="15">
      <c r="A15" s="1" t="inlineStr">
        <is>
          <t>CALCULS OPEX (ANNUEL)</t>
        </is>
      </c>
    </row>
    <row r="16">
      <c r="A16" s="4" t="inlineStr">
        <is>
          <t>Élément</t>
        </is>
      </c>
      <c r="B16" s="4" t="inlineStr">
        <is>
          <t>OPEX (USD/an)</t>
        </is>
      </c>
    </row>
    <row r="17">
      <c r="A17" t="inlineStr">
        <is>
          <t>Électricité</t>
        </is>
      </c>
      <c r="B17">
        <f>INPUT_PROJECT!C5*8760*INDEX(SETUP_ADMIN!C18:C23;EQUIV(INPUT_PROJECT!C7;SETUP_ADMIN!A18:A23;0);1)</f>
        <v/>
      </c>
    </row>
    <row r="18">
      <c r="A18" t="inlineStr">
        <is>
          <t>Maintenance (2% CAPEX)</t>
        </is>
      </c>
      <c r="B18">
        <f>D13*0.02</f>
        <v/>
      </c>
    </row>
    <row r="19">
      <c r="A19" s="6" t="inlineStr">
        <is>
          <t>OPEX TOTAL</t>
        </is>
      </c>
      <c r="B19" s="6">
        <f>SOMME(B17:B18)</f>
        <v/>
      </c>
    </row>
  </sheetData>
  <mergeCells count="3">
    <mergeCell ref="A1:C1"/>
    <mergeCell ref="A7:E7"/>
    <mergeCell ref="A15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20" customWidth="1" min="9" max="9"/>
  </cols>
  <sheetData>
    <row r="1">
      <c r="A1" s="4" t="inlineStr">
        <is>
          <t>Surface totale utilisée (m²):</t>
        </is>
      </c>
      <c r="B1">
        <f>SOMMEPROD(G6:G1000;H6:H1000)</f>
        <v/>
      </c>
    </row>
    <row r="2">
      <c r="A2" s="4" t="inlineStr">
        <is>
          <t>Surface limite (m²):</t>
        </is>
      </c>
      <c r="B2">
        <f>SI(INPUT_PROJECT!C9="Oui";INPUT_PROJECT!C10;"Non limité")</f>
        <v/>
      </c>
    </row>
    <row r="3">
      <c r="A3" s="4" t="inlineStr">
        <is>
          <t>Alerte dépassement:</t>
        </is>
      </c>
      <c r="B3" s="7">
        <f>SI(ET(INPUT_PROJECT!C9="Oui";B2&gt;B3);"⚠ DÉPASSEMENT";"OK")</f>
        <v/>
      </c>
    </row>
    <row r="5">
      <c r="A5" s="2" t="inlineStr">
        <is>
          <t>ID Élément</t>
        </is>
      </c>
      <c r="B5" s="2" t="inlineStr">
        <is>
          <t>Type</t>
        </is>
      </c>
      <c r="C5" s="2" t="inlineStr">
        <is>
          <t>X (m)</t>
        </is>
      </c>
      <c r="D5" s="2" t="inlineStr">
        <is>
          <t>Y (m)</t>
        </is>
      </c>
      <c r="E5" s="2" t="inlineStr">
        <is>
          <t>Rotation (°)</t>
        </is>
      </c>
      <c r="F5" s="2" t="inlineStr">
        <is>
          <t>Phase</t>
        </is>
      </c>
      <c r="G5" s="2" t="inlineStr">
        <is>
          <t>Longueur (m)</t>
        </is>
      </c>
      <c r="H5" s="2" t="inlineStr">
        <is>
          <t>Largeur (m)</t>
        </is>
      </c>
      <c r="I5" s="2" t="inlineStr">
        <is>
          <t>Alerte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1" t="inlineStr">
        <is>
          <t>RÉPARTITION CAPEX</t>
        </is>
      </c>
    </row>
    <row r="2">
      <c r="A2" s="2" t="inlineStr">
        <is>
          <t>Élément</t>
        </is>
      </c>
      <c r="B2" s="2" t="inlineStr">
        <is>
          <t>CAPEX (USD)</t>
        </is>
      </c>
      <c r="C2" s="2" t="inlineStr">
        <is>
          <t>Part (%)</t>
        </is>
      </c>
    </row>
    <row r="3">
      <c r="A3" t="inlineStr">
        <is>
          <t>Containers</t>
        </is>
      </c>
      <c r="B3">
        <f>CALCUL_ENGINE!D9</f>
        <v/>
      </c>
      <c r="C3">
        <f>SI($B$10&lt;&gt;0;B6/$B$10;0)</f>
        <v/>
      </c>
    </row>
    <row r="4">
      <c r="A4" t="inlineStr">
        <is>
          <t>Transformateurs</t>
        </is>
      </c>
      <c r="B4">
        <f>CALCUL_ENGINE!D10</f>
        <v/>
      </c>
      <c r="C4">
        <f>SI($B$10&lt;&gt;0;B7/$B$10;0)</f>
        <v/>
      </c>
    </row>
    <row r="5">
      <c r="A5" t="inlineStr">
        <is>
          <t>PowerBlocks</t>
        </is>
      </c>
      <c r="B5">
        <f>CALCUL_ENGINE!D11</f>
        <v/>
      </c>
      <c r="C5">
        <f>SI($B$10&lt;&gt;0;B8/$B$10;0)</f>
        <v/>
      </c>
    </row>
    <row r="6">
      <c r="A6" t="inlineStr">
        <is>
          <t>Génie Civil</t>
        </is>
      </c>
      <c r="B6">
        <f>CALCUL_ENGINE!D12</f>
        <v/>
      </c>
      <c r="C6">
        <f>SI($B$10&lt;&gt;0;B9/$B$10;0)</f>
        <v/>
      </c>
    </row>
    <row r="7">
      <c r="A7" s="4" t="inlineStr">
        <is>
          <t>TOTAL</t>
        </is>
      </c>
      <c r="B7" s="4">
        <f>SOMME(B6:B9)</f>
        <v/>
      </c>
      <c r="C7" s="4" t="inlineStr">
        <is>
          <t>100%</t>
        </is>
      </c>
    </row>
    <row r="10">
      <c r="A10" s="1" t="inlineStr">
        <is>
          <t>CAPEX vs OPEX ANNUEL</t>
        </is>
      </c>
    </row>
    <row r="11">
      <c r="A11" s="2" t="inlineStr">
        <is>
          <t>Type</t>
        </is>
      </c>
      <c r="B11" s="2" t="inlineStr">
        <is>
          <t>CAPEX (USD)</t>
        </is>
      </c>
      <c r="C11" s="2" t="inlineStr">
        <is>
          <t>OPEX (USD/an)</t>
        </is>
      </c>
    </row>
    <row r="12">
      <c r="A12" t="inlineStr">
        <is>
          <t>Total</t>
        </is>
      </c>
      <c r="B12">
        <f>CALCUL_ENGINE!D13</f>
        <v/>
      </c>
      <c r="C12">
        <f>CALCUL_ENGINE!B19</f>
        <v/>
      </c>
    </row>
    <row r="16">
      <c r="A16" s="1" t="inlineStr">
        <is>
          <t>ÉVOLUTION PAR PHASE</t>
        </is>
      </c>
    </row>
    <row r="17">
      <c r="A17" s="2" t="inlineStr">
        <is>
          <t>Phase</t>
        </is>
      </c>
      <c r="B17" s="2" t="inlineStr">
        <is>
          <t>Puissance (MW)</t>
        </is>
      </c>
      <c r="C17" s="2" t="inlineStr">
        <is>
          <t>CAPEX (USD)</t>
        </is>
      </c>
    </row>
  </sheetData>
  <mergeCells count="3">
    <mergeCell ref="A1:C1"/>
    <mergeCell ref="A16:C16"/>
    <mergeCell ref="A10:C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2025-12-14T17:45:55Z</dcterms:created>
  <dcterms:modified xsi:type="dcterms:W3CDTF">2025-12-14T17:45:55Z</dcterms:modified>
</cp:coreProperties>
</file>